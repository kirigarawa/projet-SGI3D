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s SGI3D" sheetId="1" r:id="rId4"/>
    <sheet state="visible" name="Nomenclature SGI3D" sheetId="2" r:id="rId5"/>
  </sheets>
  <definedNames/>
  <calcPr/>
  <extLst>
    <ext uri="GoogleSheetsCustomDataVersion2">
      <go:sheetsCustomData xmlns:go="http://customooxmlschemas.google.com/" r:id="rId6" roundtripDataChecksum="c+Q8mRe5H7Whl/RcL2t8Bi0y2J2Si9FjJ4esPhBMN98="/>
    </ext>
  </extLst>
</workbook>
</file>

<file path=xl/sharedStrings.xml><?xml version="1.0" encoding="utf-8"?>
<sst xmlns="http://schemas.openxmlformats.org/spreadsheetml/2006/main" count="282" uniqueCount="96">
  <si>
    <t>DEVIS - PROJET SGI3D</t>
  </si>
  <si>
    <t>Supervision et Gestion d'Imprimantes 3D</t>
  </si>
  <si>
    <t>Lycée Joseph GAILLARD - Fort-de-France, Martinique</t>
  </si>
  <si>
    <t>Budget alloué : 1 000 €</t>
  </si>
  <si>
    <t>Catégorie</t>
  </si>
  <si>
    <t>Équipement</t>
  </si>
  <si>
    <t>Quantité</t>
  </si>
  <si>
    <t>Statut</t>
  </si>
  <si>
    <t>Prix Unit. (€)</t>
  </si>
  <si>
    <t>Total (€)</t>
  </si>
  <si>
    <t>Fournisseur / Lien</t>
  </si>
  <si>
    <t>Infrastructure</t>
  </si>
  <si>
    <t>Micro-ordinateur AMD Ryzen 7 5700G (32Go, 512Go SSD)</t>
  </si>
  <si>
    <t>À acheter 🛒</t>
  </si>
  <si>
    <t>-</t>
  </si>
  <si>
    <t>Déjà au lycée</t>
  </si>
  <si>
    <t>Raspberry Pi 4 ou 5</t>
  </si>
  <si>
    <t>Switch Ethernet Gigabit</t>
  </si>
  <si>
    <t>Point d'accès WiFi</t>
  </si>
  <si>
    <t>NAS Synology</t>
  </si>
  <si>
    <t>Surveillance</t>
  </si>
  <si>
    <t>Caméra IP</t>
  </si>
  <si>
    <t>Production</t>
  </si>
  <si>
    <t>Imprimante 3D Velleman K8200</t>
  </si>
  <si>
    <t>http://www.k8200.eu/support/</t>
  </si>
  <si>
    <t>Imprimante 3D Ultimaker 2</t>
  </si>
  <si>
    <t>https://ultimaker.com/en/products/ultimaker-2-family</t>
  </si>
  <si>
    <t>TOTAL</t>
  </si>
  <si>
    <t>ÉQUIPEMENTS À COMMANDER</t>
  </si>
  <si>
    <t>⭐ Imprimante 3D Creality Ender 3 V2 Neo</t>
  </si>
  <si>
    <t>https://www.ldlc.com (meilleur rapport qualité/prix)</t>
  </si>
  <si>
    <t>Monitoring</t>
  </si>
  <si>
    <t>Capteur de fumée, fréquence cardiaque, oxymètre MAX30105 Breakout</t>
  </si>
  <si>
    <t>https://www.kubii.com/fr/modules-capteurs/2867-capteur-de-fumee-frequence-cardiaque-oxymetre-max30105-breakout-0606034878884.html</t>
  </si>
  <si>
    <t>Module de relais à 6 canaux</t>
  </si>
  <si>
    <t>https://www.kubii.com/fr/modules-relais/1959-module-de-relais-a-6-canaux-kubii-3272496008168.html</t>
  </si>
  <si>
    <t>Sécurité</t>
  </si>
  <si>
    <t>💡 OPTION : Détecteur fumée homologué NF (x2)</t>
  </si>
  <si>
    <t>⚠️ Recommandé</t>
  </si>
  <si>
    <t>Kidde/Nest - Sécurité incendie</t>
  </si>
  <si>
    <t>Alimentation</t>
  </si>
  <si>
    <t>Onduleur APC BV500I-GR (500VA)</t>
  </si>
  <si>
    <t>https://www.ldlc.com/recherche/Onduleur%20APC%20BV500I-GR%20%28500VA%29/</t>
  </si>
  <si>
    <t>Multiprise parafoudre Brennenstuhl (6 prises)</t>
  </si>
  <si>
    <t>https://www.materiel.net/produit/201908290071.html</t>
  </si>
  <si>
    <t>Réseau</t>
  </si>
  <si>
    <t>Textorm Câble RJ45 CAT 6 UTP (blanc) - 2 m</t>
  </si>
  <si>
    <t>https://www.materiel.net/produit/202210190154.html</t>
  </si>
  <si>
    <t>Nedis Câble USB 2.0 A/B - 3 m</t>
  </si>
  <si>
    <t>https://www.ldlc.com/fiche/PB00262251.html</t>
  </si>
  <si>
    <t>Ventilation</t>
  </si>
  <si>
    <t>Guan Ventilateur extracteur 150 mm avec interrupteur en métal industriel 38 W moteur extérieur mural avec 150mm avec Mu</t>
  </si>
  <si>
    <t>https://www.cdiscount.com/bricolage/climatisation/guan-ventilateur-extracteur/f-166130403-aacdt97126.html#mpos=3|mp</t>
  </si>
  <si>
    <t>Domotique</t>
  </si>
  <si>
    <t>Nedis Prise intelligente SmartLife</t>
  </si>
  <si>
    <t>https://www.ldlc.com/fiche/PB00689195.html</t>
  </si>
  <si>
    <t>Carte relais Waveshare RPi, avec contrôle de relais à 3 voies, avec connecteur d'extension GPIO 40 broches, compatible avec les cartes de la série Raspberry Pi, utilisée pour contrôler des appareils à haute tension/courant avec le Pi.</t>
  </si>
  <si>
    <t>https://www.amazon.fr/Waveshare-Raspberry-Relay-Board-Expansion/dp/B01FZ7XLJ4/ref=sr_1_1?__mk_fr_FR=ÅMÅŽÕÑ&amp;crid=QHLBYI1ATWHD&amp;dib=eyJ2IjoiMSJ9.2kbzQMsNaXC8Bg9l6l08cE8Tw_YBKhPv_7HVegOwyfYOgqVtwczWQMh5CnbPU5TeMRSJvEyl8OCI-6KwXG_bGpVdcPrjzvTkm_jA6KUgcyL6OsjGu_FnTE2lb9KGMecP9AdS_7b5_RtjNXnWB7fY1upURAHxlFSAbu6ZSCam5Zh3OPa4O3ZV5dv9U3teNnJhMlTY1gkMlVILjyA0IwjJEkM0gF7pySbgf2qvxJSdIDwp2Nj4nuCPQ_cR-aJne2hQF3v9k6kng80TXPj9zqlYsx7ZFFuesu-OZr7DKryRhBo.1dq-yJxh3E9Xqs6BwM3TrNfUHhh62NiSM6h7_hhdHp4&amp;dib_tag=se&amp;keywords=Module%2Brelais%2B4%2Bcanaux%2BWaveshare%2Bpour%2BRPi&amp;qid=1766437791&amp;sprefix=module%2Brelais%2B4%2Bcanaux%2Bwaveshare%2Bpour%2Brpi%2Caps%2C521&amp;sr=8-1&amp;th=1</t>
  </si>
  <si>
    <t>Communication</t>
  </si>
  <si>
    <t>Adaptateur réseau USB Huawei E3372 - 150MBps (4G LTE) - Blanc</t>
  </si>
  <si>
    <t>https://www.cdiscount.com/informatique/materiel-reseau-wifi-internet-bluetooth/huawei-e3372-adaptateur-reseau-usb-150mbps-4-g-lt/f-10715121304-hua6901443073337.html#mpos=3|mp</t>
  </si>
  <si>
    <t>Offre M2M : une connectivité machine-to-machine</t>
  </si>
  <si>
    <t>https://pro.caraibe.orange.fr/mobile/offre-machine-to-machine</t>
  </si>
  <si>
    <t>Capteurs</t>
  </si>
  <si>
    <t>Capteur AM2302 Humidité et température</t>
  </si>
  <si>
    <t>https://www.kubii.com/fr/modules-capteurs/2332-capteur-am2302-humidite-et-temperature-kubii-3272496012530.html</t>
  </si>
  <si>
    <t>par mois</t>
  </si>
  <si>
    <t>Stockage</t>
  </si>
  <si>
    <t>Sandisk ultra Micro SD SDXC 128Go 128GB 128g TF carte 140MB/S Classe 10 U1 A1 Adaptateur SD inclus</t>
  </si>
  <si>
    <t>https://www.cdiscount.com/photo-numerique/cartes-memoires/sandisk-ultra-micro-sd-sdxc-128go-128gb-128g-tf-ca/f-11203-san8788132341001.html#mpos=1|mp</t>
  </si>
  <si>
    <t>WD - Disque dur Externe - WD Elements™ - 2To - USB 3.0 (WDBU6Y0020BBK-WESN)</t>
  </si>
  <si>
    <t>https://www.cdiscount.com/informatique/disques-durs/wd-disque-dur-externe-wd-elements-2to-usb/f-1073602-wes0718037855363.html#mpos=1|mp</t>
  </si>
  <si>
    <t>Accessoires RPi</t>
  </si>
  <si>
    <t>Écran LCD tactile capacitif de 7 pouces pour Raspberry</t>
  </si>
  <si>
    <t>https://www.kubii.com/fr/ecrans-supports/3789-ecran-lcd-tactile-capacitif-de-7-pouces-pour-raspberry-jetson-3272496312562.html</t>
  </si>
  <si>
    <t>Boîtier pour Compute Module 4</t>
  </si>
  <si>
    <t>https://www.kubii.com/fr/boitiers-ventiles-intelligents/3989-boitier-en-metal-avec-ventilateur-de-refroidissement-pour-mini-base-board-3272496314801.html</t>
  </si>
  <si>
    <t>PORT Connect Pack Clavier+Souris Sans Fil</t>
  </si>
  <si>
    <t>https://www.ldlc.com/fiche/PB00659168.html</t>
  </si>
  <si>
    <t>Alimentation pour Raspberry Pi 4 USB-C blanc avec Adaptateurs secteur</t>
  </si>
  <si>
    <t>https://www.kubii.com/fr/alimentations/4141-alimentation-pour-raspberry-pi-4-15m-usb-type-c-avec-adaptateurs-secteur-5051259241794.html</t>
  </si>
  <si>
    <t>Filaments 3D</t>
  </si>
  <si>
    <t>Amazon Basics Filament PETG pour imprimante 3D 1.75 mm, couleurs assorties, 1 kg par bobine, 5 pièces</t>
  </si>
  <si>
    <t>https://www.amazon.fr/AmazonBasics-Filament-imprimante-couleurs-assorties/dp/B07T61CXWN/ref=sr_1_15?__mk_fr_FR=ÅMÅŽÕÑ&amp;crid=220VT3VZYNZIY&amp;dib=eyJ2IjoiMSJ9.eQ7-N_SRJRfsS2pt2vA1qJ-kCdwmTC4J2z59j4uT5prVe_epijEkbMpfikC0qPoS6OWfcFmXsixO7tzPvUXYxaAbtWFhlz5dfgW3shRnqrjMjsY5PDUw88KeDTJGIdMuyJfAlSqOLuZ5NvBl-4UftuYrvv3Zbhy0Kw3vq2tGLk8u43ZZXqw9XPXXqRe-QasDEZ883_VwqRzY0KQHTV1rUSfKjTo4Xg8Z_veou8Ps2SHRbiLRuUsAgaNkIAKoxSt5sS8uDV1GqQZ4_stIeck1Cg4NwHqVH3Zh6PVky3U5w48.YP9P0RVuymmDT9yV_7wpYbeGiny5_YWJGE3lwYFOVDg&amp;dib_tag=se&amp;keywords=Bobines%2BPLA%2B1kg%2B(lot%2Bde%2B3%2Bcouleurs)&amp;qid=1766439702&amp;sprefix=kit%2Bclavier%2Fsouris%2Blogitech%2Bk400%2Bplus%2Caps%2C312&amp;sr=8-15&amp;th=1</t>
  </si>
  <si>
    <t>Divers</t>
  </si>
  <si>
    <t>Réserve (imprévus + frais port DOM-TOM)</t>
  </si>
  <si>
    <t>Octroi de mer + livraison</t>
  </si>
  <si>
    <t>TOTAL À COMMANDER</t>
  </si>
  <si>
    <t>https://www.wortmann.de/fr-fr/product/eu1000124/terra-pc-business-6000.aspx</t>
  </si>
  <si>
    <t>https://www.ldlc.com/fiche/PB00020831.html</t>
  </si>
  <si>
    <t>https://www.ldlc.com/fiche/PB00369159.html</t>
  </si>
  <si>
    <t>https://www.ldlc.com/fiche/PB00559191.html</t>
  </si>
  <si>
    <t>https://www.ldlc.com/fiche/PB00280993.html</t>
  </si>
  <si>
    <t>https://ultimaker.com/fr/3d-printers/s-series/ultimaker-2-connect/</t>
  </si>
  <si>
    <t>Carte SIM M2M</t>
  </si>
  <si>
    <t>TOTAL DU PROJET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</si>
</sst>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€&quot;"/>
  </numFmts>
  <fonts count="29">
    <font>
      <sz val="11.0"/>
      <color theme="1"/>
      <name val="Calibri"/>
      <scheme val="minor"/>
    </font>
    <font>
      <b/>
      <sz val="16.0"/>
      <color rgb="FFFFFFFF"/>
      <name val="Cambria"/>
    </font>
    <font/>
    <font>
      <b/>
      <sz val="12.0"/>
      <color theme="1"/>
      <name val="Cambria"/>
    </font>
    <font>
      <i/>
      <sz val="10.0"/>
      <color theme="1"/>
      <name val="Cambria"/>
    </font>
    <font>
      <b/>
      <sz val="10.0"/>
      <color rgb="FFCC0000"/>
      <name val="Cambria"/>
    </font>
    <font>
      <b/>
      <sz val="11.0"/>
      <color rgb="FFFFFFFF"/>
      <name val="Cambria"/>
    </font>
    <font>
      <sz val="11.0"/>
      <color theme="1"/>
      <name val="Calibri"/>
    </font>
    <font>
      <b/>
      <sz val="11.0"/>
      <color rgb="FF007000"/>
      <name val="Cambria"/>
    </font>
    <font>
      <b/>
      <sz val="12.0"/>
      <color rgb="FFCC0000"/>
      <name val="Cambria"/>
    </font>
    <font>
      <b/>
      <sz val="12.0"/>
      <color rgb="FFFFFFFF"/>
      <name val="Cambria"/>
    </font>
    <font>
      <b/>
      <sz val="11.0"/>
      <color rgb="FFCC6600"/>
      <name val="Cambria"/>
    </font>
    <font>
      <u/>
      <sz val="11.0"/>
      <color theme="10"/>
      <name val="Calibri"/>
    </font>
    <font>
      <color theme="1"/>
      <name val="Calibri"/>
      <scheme val="minor"/>
    </font>
    <font>
      <i/>
      <sz val="8.0"/>
      <color rgb="FF808080"/>
      <name val="Cambria"/>
    </font>
    <font>
      <u/>
      <sz val="11.0"/>
      <color rgb="FF0000FF"/>
      <name val="Calibri"/>
    </font>
    <font>
      <sz val="11.0"/>
      <color rgb="FF0D0D0D"/>
      <name val="Calibri"/>
      <scheme val="minor"/>
    </font>
    <font>
      <u/>
      <sz val="11.0"/>
      <color theme="10"/>
      <name val="Calibri"/>
    </font>
    <font>
      <b/>
      <sz val="11.0"/>
      <color theme="1"/>
      <name val="Cambria"/>
    </font>
    <font>
      <b/>
      <u/>
      <sz val="11.0"/>
      <color theme="1"/>
      <name val="Cambria"/>
    </font>
    <font>
      <i/>
      <sz val="9.0"/>
      <color theme="1"/>
      <name val="Cambria"/>
    </font>
    <font>
      <b/>
      <u/>
      <sz val="11.0"/>
      <color rgb="FF0066CC"/>
      <name val="Cambria"/>
    </font>
    <font>
      <sz val="9.0"/>
      <color rgb="FF0066CC"/>
      <name val="Cambria"/>
    </font>
    <font>
      <b/>
      <u/>
      <sz val="11.0"/>
      <color rgb="FFCC6600"/>
      <name val="Cambria"/>
    </font>
    <font>
      <sz val="9.0"/>
      <color rgb="FFCC6600"/>
      <name val="Cambria"/>
    </font>
    <font>
      <b/>
      <u/>
      <sz val="11.0"/>
      <color rgb="FFCC0000"/>
      <name val="Cambria"/>
    </font>
    <font>
      <b/>
      <sz val="9.0"/>
      <color rgb="FFCC0000"/>
      <name val="Cambria"/>
    </font>
    <font>
      <sz val="9.0"/>
      <color rgb="FF000000"/>
      <name val="Cambria"/>
    </font>
    <font>
      <b/>
      <sz val="9.0"/>
      <color rgb="FF007000"/>
      <name val="Cambria"/>
    </font>
  </fonts>
  <fills count="9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D7D31"/>
        <bgColor rgb="FFED7D31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4" fillId="3" fontId="6" numFmtId="0" xfId="0" applyAlignment="1" applyBorder="1" applyFill="1" applyFont="1">
      <alignment horizontal="center" vertical="center"/>
    </xf>
    <xf borderId="5" fillId="0" fontId="7" numFmtId="0" xfId="0" applyBorder="1" applyFont="1"/>
    <xf borderId="5" fillId="0" fontId="7" numFmtId="0" xfId="0" applyAlignment="1" applyBorder="1" applyFont="1">
      <alignment horizontal="center"/>
    </xf>
    <xf borderId="5" fillId="4" fontId="8" numFmtId="0" xfId="0" applyAlignment="1" applyBorder="1" applyFill="1" applyFont="1">
      <alignment readingOrder="0"/>
    </xf>
    <xf borderId="5" fillId="0" fontId="7" numFmtId="0" xfId="0" applyAlignment="1" applyBorder="1" applyFont="1">
      <alignment horizontal="right"/>
    </xf>
    <xf borderId="4" fillId="5" fontId="3" numFmtId="0" xfId="0" applyAlignment="1" applyBorder="1" applyFill="1" applyFont="1">
      <alignment readingOrder="0"/>
    </xf>
    <xf borderId="4" fillId="5" fontId="3" numFmtId="0" xfId="0" applyBorder="1" applyFont="1"/>
    <xf borderId="6" fillId="5" fontId="9" numFmtId="164" xfId="0" applyBorder="1" applyFont="1" applyNumberFormat="1"/>
    <xf borderId="1" fillId="6" fontId="10" numFmtId="0" xfId="0" applyAlignment="1" applyBorder="1" applyFill="1" applyFont="1">
      <alignment horizontal="center"/>
    </xf>
    <xf borderId="5" fillId="7" fontId="11" numFmtId="0" xfId="0" applyAlignment="1" applyBorder="1" applyFill="1" applyFont="1">
      <alignment readingOrder="0"/>
    </xf>
    <xf borderId="5" fillId="0" fontId="7" numFmtId="164" xfId="0" applyAlignment="1" applyBorder="1" applyFont="1" applyNumberFormat="1">
      <alignment horizontal="right"/>
    </xf>
    <xf borderId="5" fillId="0" fontId="12" numFmtId="0" xfId="0" applyBorder="1" applyFont="1"/>
    <xf borderId="5" fillId="7" fontId="11" numFmtId="0" xfId="0" applyBorder="1" applyFont="1"/>
    <xf borderId="0" fillId="0" fontId="13" numFmtId="0" xfId="0" applyFont="1"/>
    <xf borderId="0" fillId="0" fontId="14" numFmtId="0" xfId="0" applyAlignment="1" applyFont="1">
      <alignment horizontal="center"/>
    </xf>
    <xf borderId="5" fillId="0" fontId="7" numFmtId="0" xfId="0" applyAlignment="1" applyBorder="1" applyFont="1">
      <alignment horizontal="right" readingOrder="0"/>
    </xf>
    <xf borderId="5" fillId="0" fontId="15" numFmtId="0" xfId="0" applyAlignment="1" applyBorder="1" applyFont="1">
      <alignment readingOrder="0"/>
    </xf>
    <xf borderId="0" fillId="8" fontId="16" numFmtId="0" xfId="0" applyAlignment="1" applyFill="1" applyFont="1">
      <alignment readingOrder="0"/>
    </xf>
    <xf borderId="5" fillId="0" fontId="7" numFmtId="164" xfId="0" applyAlignment="1" applyBorder="1" applyFont="1" applyNumberFormat="1">
      <alignment horizontal="right" readingOrder="0"/>
    </xf>
    <xf borderId="5" fillId="0" fontId="17" numFmtId="0" xfId="0" applyAlignment="1" applyBorder="1" applyFont="1">
      <alignment horizontal="left"/>
    </xf>
    <xf borderId="5" fillId="0" fontId="7" numFmtId="0" xfId="0" applyAlignment="1" applyBorder="1" applyFont="1">
      <alignment readingOrder="0"/>
    </xf>
    <xf borderId="5" fillId="5" fontId="3" numFmtId="0" xfId="0" applyAlignment="1" applyBorder="1" applyFont="1">
      <alignment readingOrder="0"/>
    </xf>
    <xf borderId="5" fillId="5" fontId="3" numFmtId="0" xfId="0" applyBorder="1" applyFont="1"/>
    <xf borderId="5" fillId="5" fontId="9" numFmtId="164" xfId="0" applyBorder="1" applyFont="1" applyNumberFormat="1"/>
    <xf borderId="0" fillId="0" fontId="18" numFmtId="0" xfId="0" applyFont="1"/>
    <xf borderId="0" fillId="0" fontId="8" numFmtId="164" xfId="0" applyFont="1" applyNumberFormat="1"/>
    <xf borderId="0" fillId="0" fontId="19" numFmtId="0" xfId="0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4" fillId="7" fontId="25" numFmtId="0" xfId="0" applyBorder="1" applyFont="1"/>
    <xf borderId="0" fillId="0" fontId="26" numFmtId="0" xfId="0" applyFont="1"/>
    <xf borderId="0" fillId="0" fontId="27" numFmtId="0" xfId="0" applyFont="1"/>
    <xf borderId="0" fillId="0" fontId="2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ubii.com/fr/modules-capteurs/2332-capteur-am2302-humidite-et-temperature-kubii-3272496012530.html" TargetMode="External"/><Relationship Id="rId10" Type="http://schemas.openxmlformats.org/officeDocument/2006/relationships/hyperlink" Target="https://pro.caraibe.orange.fr/mobile/offre-machine-to-machine" TargetMode="External"/><Relationship Id="rId13" Type="http://schemas.openxmlformats.org/officeDocument/2006/relationships/hyperlink" Target="https://www.cdiscount.com/informatique/disques-durs/wd-disque-dur-externe-wd-elements-2to-usb/f-1073602-wes0718037855363.html" TargetMode="External"/><Relationship Id="rId12" Type="http://schemas.openxmlformats.org/officeDocument/2006/relationships/hyperlink" Target="https://www.cdiscount.com/photo-numerique/cartes-memoires/sandisk-ultra-micro-sd-sdxc-128go-128gb-128g-tf-ca/f-11203-san8788132341001.html" TargetMode="External"/><Relationship Id="rId1" Type="http://schemas.openxmlformats.org/officeDocument/2006/relationships/hyperlink" Target="https://www.kubii.com/fr/modules-capteurs/2867-capteur-de-fumee-frequence-cardiaque-oxymetre-max30105-breakout-0606034878884.html" TargetMode="External"/><Relationship Id="rId2" Type="http://schemas.openxmlformats.org/officeDocument/2006/relationships/hyperlink" Target="https://www.kubii.com/fr/modules-relais/1959-module-de-relais-a-6-canaux-kubii-3272496008168.html" TargetMode="External"/><Relationship Id="rId3" Type="http://schemas.openxmlformats.org/officeDocument/2006/relationships/hyperlink" Target="https://www.ldlc.com/recherche/Onduleur%20APC%20BV500I-GR%20%28500VA%29/" TargetMode="External"/><Relationship Id="rId4" Type="http://schemas.openxmlformats.org/officeDocument/2006/relationships/hyperlink" Target="https://www.materiel.net/produit/201908290071.html" TargetMode="External"/><Relationship Id="rId9" Type="http://schemas.openxmlformats.org/officeDocument/2006/relationships/hyperlink" Target="https://www.cdiscount.com/informatique/materiel-reseau-wifi-internet-bluetooth/huawei-e3372-adaptateur-reseau-usb-150mbps-4-g-lt/f-10715121304-hua6901443073337.html" TargetMode="External"/><Relationship Id="rId15" Type="http://schemas.openxmlformats.org/officeDocument/2006/relationships/hyperlink" Target="https://www.kubii.com/fr/boitiers-ventiles-intelligents/3989-boitier-en-metal-avec-ventilateur-de-refroidissement-pour-mini-base-board-3272496314801.html" TargetMode="External"/><Relationship Id="rId14" Type="http://schemas.openxmlformats.org/officeDocument/2006/relationships/hyperlink" Target="https://www.kubii.com/fr/ecrans-supports/3789-ecran-lcd-tactile-capacitif-de-7-pouces-pour-raspberry-jetson-3272496312562.html" TargetMode="External"/><Relationship Id="rId17" Type="http://schemas.openxmlformats.org/officeDocument/2006/relationships/hyperlink" Target="https://www.kubii.com/fr/alimentations/4141-alimentation-pour-raspberry-pi-4-15m-usb-type-c-avec-adaptateurs-secteur-5051259241794.html" TargetMode="External"/><Relationship Id="rId16" Type="http://schemas.openxmlformats.org/officeDocument/2006/relationships/hyperlink" Target="https://www.ldlc.com/fiche/PB00659168.html" TargetMode="External"/><Relationship Id="rId5" Type="http://schemas.openxmlformats.org/officeDocument/2006/relationships/hyperlink" Target="https://www.materiel.net/produit/202210190154.html" TargetMode="External"/><Relationship Id="rId6" Type="http://schemas.openxmlformats.org/officeDocument/2006/relationships/hyperlink" Target="https://www.ldlc.com/fiche/PB00262251.html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cdiscount.com/bricolage/climatisation/guan-ventilateur-extracteur/f-166130403-aacdt97126.html" TargetMode="External"/><Relationship Id="rId8" Type="http://schemas.openxmlformats.org/officeDocument/2006/relationships/hyperlink" Target="https://www.ldlc.com/fiche/PB00689195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discount.com/informatique/disques-durs/wd-disque-dur-externe-wd-elements-2to-usb/f-1073602-wes0718037855363.html" TargetMode="External"/><Relationship Id="rId22" Type="http://schemas.openxmlformats.org/officeDocument/2006/relationships/hyperlink" Target="https://www.kubii.com/fr/boitiers-ventiles-intelligents/3989-boitier-en-metal-avec-ventilateur-de-refroidissement-pour-mini-base-board-3272496314801.html" TargetMode="External"/><Relationship Id="rId21" Type="http://schemas.openxmlformats.org/officeDocument/2006/relationships/hyperlink" Target="https://www.kubii.com/fr/ecrans-supports/3789-ecran-lcd-tactile-capacitif-de-7-pouces-pour-raspberry-jetson-3272496312562.html" TargetMode="External"/><Relationship Id="rId24" Type="http://schemas.openxmlformats.org/officeDocument/2006/relationships/hyperlink" Target="https://www.kubii.com/fr/alimentations/4141-alimentation-pour-raspberry-pi-4-15m-usb-type-c-avec-adaptateurs-secteur-5051259241794.html" TargetMode="External"/><Relationship Id="rId23" Type="http://schemas.openxmlformats.org/officeDocument/2006/relationships/hyperlink" Target="https://www.ldlc.com/fiche/PB00659168.html" TargetMode="External"/><Relationship Id="rId1" Type="http://schemas.openxmlformats.org/officeDocument/2006/relationships/hyperlink" Target="https://www.wortmann.de/fr-fr/product/eu1000124/terra-pc-business-6000.aspx" TargetMode="External"/><Relationship Id="rId2" Type="http://schemas.openxmlformats.org/officeDocument/2006/relationships/hyperlink" Target="https://www.ldlc.com/fiche/PB00020831.html" TargetMode="External"/><Relationship Id="rId3" Type="http://schemas.openxmlformats.org/officeDocument/2006/relationships/hyperlink" Target="https://www.ldlc.com/fiche/PB00369159.html" TargetMode="External"/><Relationship Id="rId4" Type="http://schemas.openxmlformats.org/officeDocument/2006/relationships/hyperlink" Target="https://www.ldlc.com/fiche/PB00559191.html" TargetMode="External"/><Relationship Id="rId9" Type="http://schemas.openxmlformats.org/officeDocument/2006/relationships/hyperlink" Target="https://www.kubii.com/fr/modules-relais/1959-module-de-relais-a-6-canaux-kubii-3272496008168.html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ldlc.com/fiche/PB00280993.html" TargetMode="External"/><Relationship Id="rId6" Type="http://schemas.openxmlformats.org/officeDocument/2006/relationships/hyperlink" Target="http://www.k8200.eu/support/" TargetMode="External"/><Relationship Id="rId7" Type="http://schemas.openxmlformats.org/officeDocument/2006/relationships/hyperlink" Target="https://ultimaker.com/fr/3d-printers/s-series/ultimaker-2-connect/" TargetMode="External"/><Relationship Id="rId8" Type="http://schemas.openxmlformats.org/officeDocument/2006/relationships/hyperlink" Target="https://www.kubii.com/fr/modules-capteurs/2867-capteur-de-fumee-frequence-cardiaque-oxymetre-max30105-breakout-0606034878884.html" TargetMode="External"/><Relationship Id="rId11" Type="http://schemas.openxmlformats.org/officeDocument/2006/relationships/hyperlink" Target="https://www.materiel.net/produit/201908290071.html" TargetMode="External"/><Relationship Id="rId10" Type="http://schemas.openxmlformats.org/officeDocument/2006/relationships/hyperlink" Target="https://www.ldlc.com/recherche/Onduleur%20APC%20BV500I-GR%20%28500VA%29/" TargetMode="External"/><Relationship Id="rId13" Type="http://schemas.openxmlformats.org/officeDocument/2006/relationships/hyperlink" Target="https://www.ldlc.com/fiche/PB00262251.html" TargetMode="External"/><Relationship Id="rId12" Type="http://schemas.openxmlformats.org/officeDocument/2006/relationships/hyperlink" Target="https://www.materiel.net/produit/202210190154.html" TargetMode="External"/><Relationship Id="rId15" Type="http://schemas.openxmlformats.org/officeDocument/2006/relationships/hyperlink" Target="https://www.ldlc.com/fiche/PB00689195.html" TargetMode="External"/><Relationship Id="rId14" Type="http://schemas.openxmlformats.org/officeDocument/2006/relationships/hyperlink" Target="https://www.cdiscount.com/bricolage/climatisation/guan-ventilateur-extracteur/f-166130403-aacdt97126.html" TargetMode="External"/><Relationship Id="rId17" Type="http://schemas.openxmlformats.org/officeDocument/2006/relationships/hyperlink" Target="https://pro.caraibe.orange.fr/mobile/offre-machine-to-machine" TargetMode="External"/><Relationship Id="rId16" Type="http://schemas.openxmlformats.org/officeDocument/2006/relationships/hyperlink" Target="https://www.cdiscount.com/informatique/materiel-reseau-wifi-internet-bluetooth/huawei-e3372-adaptateur-reseau-usb-150mbps-4-g-lt/f-10715121304-hua6901443073337.html" TargetMode="External"/><Relationship Id="rId19" Type="http://schemas.openxmlformats.org/officeDocument/2006/relationships/hyperlink" Target="https://www.cdiscount.com/photo-numerique/cartes-memoires/sandisk-ultra-micro-sd-sdxc-128go-128gb-128g-tf-ca/f-11203-san8788132341001.html" TargetMode="External"/><Relationship Id="rId18" Type="http://schemas.openxmlformats.org/officeDocument/2006/relationships/hyperlink" Target="https://www.kubii.com/fr/modules-capteurs/2332-capteur-am2302-humidite-et-temperature-kubii-32724960125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0.0"/>
    <col customWidth="1" min="3" max="3" width="10.0"/>
    <col customWidth="1" min="4" max="6" width="15.0"/>
    <col customWidth="1" min="7" max="7" width="45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</row>
    <row r="3" ht="14.25" customHeight="1">
      <c r="A3" s="5" t="s">
        <v>2</v>
      </c>
    </row>
    <row r="4" ht="14.25" customHeight="1">
      <c r="A4" s="6" t="s">
        <v>3</v>
      </c>
    </row>
    <row r="5" ht="4.5" customHeight="1"/>
    <row r="6" ht="14.25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ht="14.25" customHeight="1">
      <c r="A7" s="8" t="s">
        <v>11</v>
      </c>
      <c r="B7" s="8" t="s">
        <v>12</v>
      </c>
      <c r="C7" s="9">
        <v>2.0</v>
      </c>
      <c r="D7" s="10" t="s">
        <v>13</v>
      </c>
      <c r="E7" s="11" t="s">
        <v>14</v>
      </c>
      <c r="F7" s="11" t="s">
        <v>14</v>
      </c>
      <c r="G7" s="8" t="s">
        <v>15</v>
      </c>
    </row>
    <row r="8" ht="14.25" customHeight="1">
      <c r="A8" s="8" t="s">
        <v>11</v>
      </c>
      <c r="B8" s="8" t="s">
        <v>16</v>
      </c>
      <c r="C8" s="9">
        <v>2.0</v>
      </c>
      <c r="D8" s="10" t="s">
        <v>13</v>
      </c>
      <c r="E8" s="11" t="s">
        <v>14</v>
      </c>
      <c r="F8" s="11" t="s">
        <v>14</v>
      </c>
      <c r="G8" s="8" t="s">
        <v>15</v>
      </c>
    </row>
    <row r="9" ht="14.25" customHeight="1">
      <c r="A9" s="8" t="s">
        <v>11</v>
      </c>
      <c r="B9" s="8" t="s">
        <v>17</v>
      </c>
      <c r="C9" s="9">
        <v>1.0</v>
      </c>
      <c r="D9" s="10" t="s">
        <v>13</v>
      </c>
      <c r="E9" s="11" t="s">
        <v>14</v>
      </c>
      <c r="F9" s="11" t="s">
        <v>14</v>
      </c>
      <c r="G9" s="8" t="s">
        <v>15</v>
      </c>
    </row>
    <row r="10" ht="14.25" customHeight="1">
      <c r="A10" s="8" t="s">
        <v>11</v>
      </c>
      <c r="B10" s="8" t="s">
        <v>18</v>
      </c>
      <c r="C10" s="9">
        <v>1.0</v>
      </c>
      <c r="D10" s="10" t="s">
        <v>13</v>
      </c>
      <c r="E10" s="11" t="s">
        <v>14</v>
      </c>
      <c r="F10" s="11" t="s">
        <v>14</v>
      </c>
      <c r="G10" s="8" t="s">
        <v>15</v>
      </c>
    </row>
    <row r="11" ht="14.25" customHeight="1">
      <c r="A11" s="8" t="s">
        <v>11</v>
      </c>
      <c r="B11" s="8" t="s">
        <v>19</v>
      </c>
      <c r="C11" s="9">
        <v>1.0</v>
      </c>
      <c r="D11" s="10" t="s">
        <v>13</v>
      </c>
      <c r="E11" s="11" t="s">
        <v>14</v>
      </c>
      <c r="F11" s="11" t="s">
        <v>14</v>
      </c>
      <c r="G11" s="8" t="s">
        <v>15</v>
      </c>
    </row>
    <row r="12" ht="14.25" customHeight="1">
      <c r="A12" s="8" t="s">
        <v>20</v>
      </c>
      <c r="B12" s="8" t="s">
        <v>21</v>
      </c>
      <c r="C12" s="9">
        <v>1.0</v>
      </c>
      <c r="D12" s="10" t="s">
        <v>13</v>
      </c>
      <c r="E12" s="11" t="s">
        <v>14</v>
      </c>
      <c r="F12" s="11" t="s">
        <v>14</v>
      </c>
      <c r="G12" s="8" t="s">
        <v>15</v>
      </c>
    </row>
    <row r="13" ht="14.25" customHeight="1">
      <c r="A13" s="8" t="s">
        <v>22</v>
      </c>
      <c r="B13" s="8" t="s">
        <v>23</v>
      </c>
      <c r="C13" s="9">
        <v>1.0</v>
      </c>
      <c r="D13" s="10" t="s">
        <v>13</v>
      </c>
      <c r="E13" s="11" t="s">
        <v>14</v>
      </c>
      <c r="F13" s="11" t="s">
        <v>14</v>
      </c>
      <c r="G13" s="8" t="s">
        <v>24</v>
      </c>
    </row>
    <row r="14" ht="14.25" customHeight="1">
      <c r="A14" s="8" t="s">
        <v>22</v>
      </c>
      <c r="B14" s="8" t="s">
        <v>25</v>
      </c>
      <c r="C14" s="9">
        <v>1.0</v>
      </c>
      <c r="D14" s="10" t="s">
        <v>13</v>
      </c>
      <c r="E14" s="11" t="s">
        <v>14</v>
      </c>
      <c r="F14" s="11" t="s">
        <v>14</v>
      </c>
      <c r="G14" s="8" t="s">
        <v>26</v>
      </c>
    </row>
    <row r="15" ht="14.25" customHeight="1">
      <c r="A15" s="12" t="s">
        <v>27</v>
      </c>
      <c r="B15" s="13"/>
      <c r="C15" s="13"/>
      <c r="D15" s="13"/>
      <c r="E15" s="13"/>
      <c r="F15" s="14">
        <f>SUM(F7:F14)</f>
        <v>0</v>
      </c>
      <c r="G15" s="8"/>
    </row>
    <row r="16" ht="24.75" customHeight="1">
      <c r="A16" s="15" t="s">
        <v>28</v>
      </c>
      <c r="B16" s="2"/>
      <c r="C16" s="2"/>
      <c r="D16" s="2"/>
      <c r="E16" s="2"/>
      <c r="F16" s="2"/>
      <c r="G16" s="3"/>
    </row>
    <row r="17" ht="14.25" customHeight="1">
      <c r="A17" s="8" t="s">
        <v>22</v>
      </c>
      <c r="B17" s="8" t="s">
        <v>29</v>
      </c>
      <c r="C17" s="9">
        <v>1.0</v>
      </c>
      <c r="D17" s="16" t="s">
        <v>13</v>
      </c>
      <c r="E17" s="17">
        <v>169.0</v>
      </c>
      <c r="F17" s="17">
        <f t="shared" ref="F17:F38" si="1">E17*C17</f>
        <v>169</v>
      </c>
      <c r="G17" s="8" t="s">
        <v>30</v>
      </c>
    </row>
    <row r="18" ht="14.25" customHeight="1">
      <c r="A18" s="8" t="s">
        <v>31</v>
      </c>
      <c r="B18" s="8" t="s">
        <v>32</v>
      </c>
      <c r="C18" s="9">
        <v>2.0</v>
      </c>
      <c r="D18" s="16" t="s">
        <v>13</v>
      </c>
      <c r="E18" s="17">
        <v>27.95</v>
      </c>
      <c r="F18" s="17">
        <f t="shared" si="1"/>
        <v>55.9</v>
      </c>
      <c r="G18" s="18" t="s">
        <v>33</v>
      </c>
    </row>
    <row r="19" ht="14.25" customHeight="1">
      <c r="A19" s="8" t="s">
        <v>31</v>
      </c>
      <c r="B19" s="8" t="s">
        <v>34</v>
      </c>
      <c r="C19" s="9">
        <v>1.0</v>
      </c>
      <c r="D19" s="16" t="s">
        <v>13</v>
      </c>
      <c r="E19" s="17">
        <v>8.7</v>
      </c>
      <c r="F19" s="17">
        <f t="shared" si="1"/>
        <v>8.7</v>
      </c>
      <c r="G19" s="18" t="s">
        <v>35</v>
      </c>
    </row>
    <row r="20" ht="14.25" customHeight="1">
      <c r="A20" s="8" t="s">
        <v>36</v>
      </c>
      <c r="B20" s="8" t="s">
        <v>37</v>
      </c>
      <c r="C20" s="9">
        <v>0.0</v>
      </c>
      <c r="D20" s="19" t="s">
        <v>38</v>
      </c>
      <c r="E20" s="17">
        <v>29.9</v>
      </c>
      <c r="F20" s="17">
        <f t="shared" si="1"/>
        <v>0</v>
      </c>
      <c r="G20" s="8" t="s">
        <v>39</v>
      </c>
    </row>
    <row r="21" ht="14.25" customHeight="1">
      <c r="A21" s="8" t="s">
        <v>40</v>
      </c>
      <c r="B21" s="8" t="s">
        <v>41</v>
      </c>
      <c r="C21" s="9">
        <v>1.0</v>
      </c>
      <c r="D21" s="16" t="s">
        <v>13</v>
      </c>
      <c r="E21" s="17">
        <v>79.95</v>
      </c>
      <c r="F21" s="17">
        <f t="shared" si="1"/>
        <v>79.95</v>
      </c>
      <c r="G21" s="18" t="s">
        <v>42</v>
      </c>
    </row>
    <row r="22" ht="14.25" customHeight="1">
      <c r="A22" s="8" t="s">
        <v>40</v>
      </c>
      <c r="B22" s="8" t="s">
        <v>43</v>
      </c>
      <c r="C22" s="9">
        <v>2.0</v>
      </c>
      <c r="D22" s="16" t="s">
        <v>13</v>
      </c>
      <c r="E22" s="17">
        <v>18.85</v>
      </c>
      <c r="F22" s="17">
        <f t="shared" si="1"/>
        <v>37.7</v>
      </c>
      <c r="G22" s="18" t="s">
        <v>44</v>
      </c>
    </row>
    <row r="23" ht="14.25" customHeight="1">
      <c r="A23" s="8" t="s">
        <v>45</v>
      </c>
      <c r="B23" s="8" t="s">
        <v>46</v>
      </c>
      <c r="C23" s="9">
        <v>1.0</v>
      </c>
      <c r="D23" s="16" t="s">
        <v>13</v>
      </c>
      <c r="E23" s="17">
        <v>3.5</v>
      </c>
      <c r="F23" s="17">
        <f t="shared" si="1"/>
        <v>3.5</v>
      </c>
      <c r="G23" s="18" t="s">
        <v>47</v>
      </c>
    </row>
    <row r="24" ht="14.25" customHeight="1">
      <c r="A24" s="8" t="s">
        <v>45</v>
      </c>
      <c r="B24" s="8" t="s">
        <v>48</v>
      </c>
      <c r="C24" s="9">
        <v>1.0</v>
      </c>
      <c r="D24" s="16" t="s">
        <v>13</v>
      </c>
      <c r="E24" s="17">
        <v>6.9</v>
      </c>
      <c r="F24" s="17">
        <f t="shared" si="1"/>
        <v>6.9</v>
      </c>
      <c r="G24" s="18" t="s">
        <v>49</v>
      </c>
    </row>
    <row r="25" ht="14.25" customHeight="1">
      <c r="A25" s="8" t="s">
        <v>50</v>
      </c>
      <c r="B25" s="8" t="s">
        <v>51</v>
      </c>
      <c r="C25" s="9">
        <v>1.0</v>
      </c>
      <c r="D25" s="16" t="s">
        <v>13</v>
      </c>
      <c r="E25" s="17">
        <v>68.58</v>
      </c>
      <c r="F25" s="17">
        <f t="shared" si="1"/>
        <v>68.58</v>
      </c>
      <c r="G25" s="18" t="s">
        <v>52</v>
      </c>
    </row>
    <row r="26" ht="14.25" customHeight="1">
      <c r="A26" s="8" t="s">
        <v>53</v>
      </c>
      <c r="B26" s="8" t="s">
        <v>54</v>
      </c>
      <c r="C26" s="9">
        <v>1.0</v>
      </c>
      <c r="D26" s="16" t="s">
        <v>13</v>
      </c>
      <c r="E26" s="17">
        <v>19.75</v>
      </c>
      <c r="F26" s="17">
        <f t="shared" si="1"/>
        <v>19.75</v>
      </c>
      <c r="G26" s="18" t="s">
        <v>55</v>
      </c>
    </row>
    <row r="27" ht="14.25" customHeight="1">
      <c r="A27" s="8" t="s">
        <v>53</v>
      </c>
      <c r="B27" s="8" t="s">
        <v>56</v>
      </c>
      <c r="C27" s="9">
        <v>1.0</v>
      </c>
      <c r="D27" s="16" t="s">
        <v>13</v>
      </c>
      <c r="E27" s="17">
        <v>19.99</v>
      </c>
      <c r="F27" s="17">
        <f t="shared" si="1"/>
        <v>19.99</v>
      </c>
      <c r="G27" s="8" t="s">
        <v>57</v>
      </c>
    </row>
    <row r="28" ht="14.25" customHeight="1">
      <c r="A28" s="8" t="s">
        <v>58</v>
      </c>
      <c r="B28" s="8" t="s">
        <v>59</v>
      </c>
      <c r="C28" s="9">
        <v>1.0</v>
      </c>
      <c r="D28" s="16" t="s">
        <v>13</v>
      </c>
      <c r="E28" s="17">
        <v>49.9</v>
      </c>
      <c r="F28" s="17">
        <f t="shared" si="1"/>
        <v>49.9</v>
      </c>
      <c r="G28" s="18" t="s">
        <v>60</v>
      </c>
    </row>
    <row r="29" ht="14.25" customHeight="1">
      <c r="A29" s="8" t="s">
        <v>58</v>
      </c>
      <c r="B29" s="8" t="s">
        <v>61</v>
      </c>
      <c r="C29" s="9">
        <v>1.0</v>
      </c>
      <c r="D29" s="16" t="s">
        <v>13</v>
      </c>
      <c r="E29" s="17">
        <v>5.5</v>
      </c>
      <c r="F29" s="17">
        <f t="shared" si="1"/>
        <v>5.5</v>
      </c>
      <c r="G29" s="18" t="s">
        <v>62</v>
      </c>
    </row>
    <row r="30" ht="14.25" customHeight="1">
      <c r="A30" s="8" t="s">
        <v>63</v>
      </c>
      <c r="B30" s="8" t="s">
        <v>64</v>
      </c>
      <c r="C30" s="9">
        <v>1.0</v>
      </c>
      <c r="D30" s="16" t="s">
        <v>13</v>
      </c>
      <c r="E30" s="17">
        <v>7.95</v>
      </c>
      <c r="F30" s="17">
        <f t="shared" si="1"/>
        <v>7.95</v>
      </c>
      <c r="G30" s="18" t="s">
        <v>65</v>
      </c>
      <c r="I30" s="20" t="s">
        <v>66</v>
      </c>
    </row>
    <row r="31" ht="14.25" customHeight="1">
      <c r="A31" s="8" t="s">
        <v>67</v>
      </c>
      <c r="B31" s="8" t="s">
        <v>68</v>
      </c>
      <c r="C31" s="9">
        <v>1.0</v>
      </c>
      <c r="D31" s="16" t="s">
        <v>13</v>
      </c>
      <c r="E31" s="17">
        <v>15.99</v>
      </c>
      <c r="F31" s="17">
        <f t="shared" si="1"/>
        <v>15.99</v>
      </c>
      <c r="G31" s="18" t="s">
        <v>69</v>
      </c>
    </row>
    <row r="32" ht="14.25" customHeight="1">
      <c r="A32" s="8" t="s">
        <v>67</v>
      </c>
      <c r="B32" s="8" t="s">
        <v>70</v>
      </c>
      <c r="C32" s="9">
        <v>1.0</v>
      </c>
      <c r="D32" s="16" t="s">
        <v>13</v>
      </c>
      <c r="E32" s="17">
        <v>70.0</v>
      </c>
      <c r="F32" s="17">
        <f t="shared" si="1"/>
        <v>70</v>
      </c>
      <c r="G32" s="18" t="s">
        <v>71</v>
      </c>
    </row>
    <row r="33" ht="14.25" customHeight="1">
      <c r="A33" s="8" t="s">
        <v>72</v>
      </c>
      <c r="B33" s="8" t="s">
        <v>73</v>
      </c>
      <c r="C33" s="9">
        <v>1.0</v>
      </c>
      <c r="D33" s="16" t="s">
        <v>13</v>
      </c>
      <c r="E33" s="17">
        <v>79.5</v>
      </c>
      <c r="F33" s="17">
        <f t="shared" si="1"/>
        <v>79.5</v>
      </c>
      <c r="G33" s="18" t="s">
        <v>74</v>
      </c>
    </row>
    <row r="34" ht="14.25" customHeight="1">
      <c r="A34" s="8" t="s">
        <v>72</v>
      </c>
      <c r="B34" s="8" t="s">
        <v>75</v>
      </c>
      <c r="C34" s="9">
        <v>2.0</v>
      </c>
      <c r="D34" s="16" t="s">
        <v>13</v>
      </c>
      <c r="E34" s="17">
        <v>37.5</v>
      </c>
      <c r="F34" s="17">
        <f t="shared" si="1"/>
        <v>75</v>
      </c>
      <c r="G34" s="18" t="s">
        <v>76</v>
      </c>
    </row>
    <row r="35" ht="14.25" customHeight="1">
      <c r="A35" s="8" t="s">
        <v>72</v>
      </c>
      <c r="B35" s="8" t="s">
        <v>77</v>
      </c>
      <c r="C35" s="9">
        <v>1.0</v>
      </c>
      <c r="D35" s="16" t="s">
        <v>13</v>
      </c>
      <c r="E35" s="17">
        <v>39.95</v>
      </c>
      <c r="F35" s="17">
        <f t="shared" si="1"/>
        <v>39.95</v>
      </c>
      <c r="G35" s="18" t="s">
        <v>78</v>
      </c>
    </row>
    <row r="36" ht="14.25" customHeight="1">
      <c r="A36" s="8" t="s">
        <v>72</v>
      </c>
      <c r="B36" s="8" t="s">
        <v>79</v>
      </c>
      <c r="C36" s="9">
        <v>1.0</v>
      </c>
      <c r="D36" s="16" t="s">
        <v>13</v>
      </c>
      <c r="E36" s="17">
        <v>12.0</v>
      </c>
      <c r="F36" s="17">
        <f t="shared" si="1"/>
        <v>12</v>
      </c>
      <c r="G36" s="18" t="s">
        <v>80</v>
      </c>
    </row>
    <row r="37" ht="14.25" customHeight="1">
      <c r="A37" s="8" t="s">
        <v>81</v>
      </c>
      <c r="B37" s="8" t="s">
        <v>82</v>
      </c>
      <c r="C37" s="9">
        <v>1.0</v>
      </c>
      <c r="D37" s="16" t="s">
        <v>13</v>
      </c>
      <c r="E37" s="17">
        <v>68.16</v>
      </c>
      <c r="F37" s="17">
        <f t="shared" si="1"/>
        <v>68.16</v>
      </c>
      <c r="G37" s="8" t="s">
        <v>83</v>
      </c>
    </row>
    <row r="38" ht="14.25" customHeight="1">
      <c r="A38" s="8" t="s">
        <v>84</v>
      </c>
      <c r="B38" s="8" t="s">
        <v>85</v>
      </c>
      <c r="C38" s="9">
        <v>1.0</v>
      </c>
      <c r="D38" s="16" t="s">
        <v>13</v>
      </c>
      <c r="E38" s="17">
        <v>60.0</v>
      </c>
      <c r="F38" s="17">
        <f t="shared" si="1"/>
        <v>60</v>
      </c>
      <c r="G38" s="8" t="s">
        <v>86</v>
      </c>
    </row>
    <row r="39" ht="14.25" customHeight="1">
      <c r="A39" s="13" t="s">
        <v>87</v>
      </c>
      <c r="B39" s="13"/>
      <c r="C39" s="13"/>
      <c r="D39" s="13"/>
      <c r="E39" s="13"/>
      <c r="F39" s="14">
        <f>SUM(F17:F38)</f>
        <v>953.92</v>
      </c>
    </row>
    <row r="40" ht="14.25" customHeight="1"/>
    <row r="41" ht="14.25" customHeight="1"/>
    <row r="42" ht="14.25" customHeight="1"/>
    <row r="43" ht="14.25" customHeight="1">
      <c r="A43" s="21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mergeCells count="6">
    <mergeCell ref="A1:G1"/>
    <mergeCell ref="A2:G2"/>
    <mergeCell ref="A3:G3"/>
    <mergeCell ref="A4:G4"/>
    <mergeCell ref="A16:G16"/>
    <mergeCell ref="A43:G43"/>
  </mergeCells>
  <hyperlinks>
    <hyperlink r:id="rId1" ref="G18"/>
    <hyperlink r:id="rId2" ref="G19"/>
    <hyperlink r:id="rId3" ref="G21"/>
    <hyperlink r:id="rId4" ref="G22"/>
    <hyperlink r:id="rId5" ref="G23"/>
    <hyperlink r:id="rId6" ref="G24"/>
    <hyperlink r:id="rId7" location="mpos=3|mp" ref="G25"/>
    <hyperlink r:id="rId8" ref="G26"/>
    <hyperlink r:id="rId9" location="mpos=3|mp" ref="G28"/>
    <hyperlink r:id="rId10" ref="G29"/>
    <hyperlink r:id="rId11" ref="G30"/>
    <hyperlink r:id="rId12" location="mpos=1|mp" ref="G31"/>
    <hyperlink r:id="rId13" location="mpos=1|mp" ref="G32"/>
    <hyperlink r:id="rId14" ref="G33"/>
    <hyperlink r:id="rId15" ref="G34"/>
    <hyperlink r:id="rId16" ref="G35"/>
    <hyperlink r:id="rId17" ref="G36"/>
  </hyperlinks>
  <printOptions/>
  <pageMargins bottom="1.0" footer="0.0" header="0.0" left="0.75" right="0.75" top="1.0"/>
  <pageSetup paperSize="9" orientation="portrait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0.0"/>
    <col customWidth="1" min="3" max="3" width="10.0"/>
    <col customWidth="1" min="4" max="6" width="15.0"/>
    <col customWidth="1" min="7" max="7" width="123.86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</row>
    <row r="3" ht="14.25" customHeight="1">
      <c r="A3" s="5" t="s">
        <v>2</v>
      </c>
    </row>
    <row r="4" ht="14.25" customHeight="1">
      <c r="A4" s="6" t="s">
        <v>3</v>
      </c>
    </row>
    <row r="5" ht="4.5" customHeight="1"/>
    <row r="6" ht="14.25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ht="14.25" customHeight="1">
      <c r="A7" s="8" t="s">
        <v>11</v>
      </c>
      <c r="B7" s="8" t="s">
        <v>12</v>
      </c>
      <c r="C7" s="9">
        <v>2.0</v>
      </c>
      <c r="D7" s="10" t="s">
        <v>13</v>
      </c>
      <c r="E7" s="22">
        <v>989.0</v>
      </c>
      <c r="F7" s="11">
        <f t="shared" ref="F7:F14" si="1">C7*E7</f>
        <v>1978</v>
      </c>
      <c r="G7" s="23" t="s">
        <v>88</v>
      </c>
    </row>
    <row r="8" ht="14.25" customHeight="1">
      <c r="A8" s="8" t="s">
        <v>11</v>
      </c>
      <c r="B8" s="8" t="s">
        <v>16</v>
      </c>
      <c r="C8" s="9">
        <v>2.0</v>
      </c>
      <c r="D8" s="10" t="s">
        <v>13</v>
      </c>
      <c r="E8" s="22">
        <v>80.0</v>
      </c>
      <c r="F8" s="11">
        <f t="shared" si="1"/>
        <v>160</v>
      </c>
      <c r="G8" s="23" t="s">
        <v>89</v>
      </c>
    </row>
    <row r="9" ht="14.25" customHeight="1">
      <c r="A9" s="8" t="s">
        <v>11</v>
      </c>
      <c r="B9" s="8" t="s">
        <v>17</v>
      </c>
      <c r="C9" s="9">
        <v>1.0</v>
      </c>
      <c r="D9" s="10" t="s">
        <v>13</v>
      </c>
      <c r="E9" s="22">
        <v>29.95</v>
      </c>
      <c r="F9" s="11">
        <f t="shared" si="1"/>
        <v>29.95</v>
      </c>
    </row>
    <row r="10" ht="14.25" customHeight="1">
      <c r="A10" s="8" t="s">
        <v>11</v>
      </c>
      <c r="B10" s="8" t="s">
        <v>18</v>
      </c>
      <c r="C10" s="9">
        <v>1.0</v>
      </c>
      <c r="D10" s="10" t="s">
        <v>13</v>
      </c>
      <c r="E10" s="22">
        <v>26.95</v>
      </c>
      <c r="F10" s="11">
        <f t="shared" si="1"/>
        <v>26.95</v>
      </c>
      <c r="G10" s="23" t="s">
        <v>90</v>
      </c>
    </row>
    <row r="11" ht="14.25" customHeight="1">
      <c r="A11" s="8" t="s">
        <v>11</v>
      </c>
      <c r="B11" s="8" t="s">
        <v>19</v>
      </c>
      <c r="C11" s="9">
        <v>1.0</v>
      </c>
      <c r="D11" s="10" t="s">
        <v>13</v>
      </c>
      <c r="E11" s="22">
        <v>219.95</v>
      </c>
      <c r="F11" s="11">
        <f t="shared" si="1"/>
        <v>219.95</v>
      </c>
      <c r="G11" s="23" t="s">
        <v>91</v>
      </c>
    </row>
    <row r="12" ht="14.25" customHeight="1">
      <c r="A12" s="8" t="s">
        <v>20</v>
      </c>
      <c r="B12" s="8" t="s">
        <v>21</v>
      </c>
      <c r="C12" s="9">
        <v>1.0</v>
      </c>
      <c r="D12" s="10" t="s">
        <v>13</v>
      </c>
      <c r="E12" s="22">
        <v>42.95</v>
      </c>
      <c r="F12" s="11">
        <f t="shared" si="1"/>
        <v>42.95</v>
      </c>
      <c r="G12" s="23" t="s">
        <v>92</v>
      </c>
    </row>
    <row r="13" ht="14.25" customHeight="1">
      <c r="A13" s="8" t="s">
        <v>22</v>
      </c>
      <c r="B13" s="8" t="s">
        <v>23</v>
      </c>
      <c r="C13" s="9">
        <v>1.0</v>
      </c>
      <c r="D13" s="10" t="s">
        <v>13</v>
      </c>
      <c r="E13" s="24">
        <v>700.0</v>
      </c>
      <c r="F13" s="11">
        <f t="shared" si="1"/>
        <v>700</v>
      </c>
      <c r="G13" s="23" t="s">
        <v>24</v>
      </c>
    </row>
    <row r="14" ht="14.25" customHeight="1">
      <c r="A14" s="8" t="s">
        <v>22</v>
      </c>
      <c r="B14" s="8" t="s">
        <v>25</v>
      </c>
      <c r="C14" s="9">
        <v>1.0</v>
      </c>
      <c r="D14" s="10" t="s">
        <v>13</v>
      </c>
      <c r="E14" s="22">
        <v>2000.0</v>
      </c>
      <c r="F14" s="11">
        <f t="shared" si="1"/>
        <v>2000</v>
      </c>
      <c r="G14" s="23" t="s">
        <v>93</v>
      </c>
    </row>
    <row r="15" ht="14.25" customHeight="1">
      <c r="A15" s="8" t="s">
        <v>22</v>
      </c>
      <c r="B15" s="8" t="s">
        <v>29</v>
      </c>
      <c r="C15" s="9">
        <v>1.0</v>
      </c>
      <c r="D15" s="16" t="s">
        <v>13</v>
      </c>
      <c r="E15" s="17">
        <v>169.0</v>
      </c>
      <c r="F15" s="17">
        <f t="shared" ref="F15:F36" si="2">E15*C15</f>
        <v>169</v>
      </c>
      <c r="G15" s="8" t="s">
        <v>30</v>
      </c>
    </row>
    <row r="16" ht="14.25" customHeight="1">
      <c r="A16" s="8" t="s">
        <v>31</v>
      </c>
      <c r="B16" s="8" t="s">
        <v>32</v>
      </c>
      <c r="C16" s="9">
        <v>2.0</v>
      </c>
      <c r="D16" s="16" t="s">
        <v>13</v>
      </c>
      <c r="E16" s="17">
        <v>27.95</v>
      </c>
      <c r="F16" s="17">
        <f t="shared" si="2"/>
        <v>55.9</v>
      </c>
      <c r="G16" s="18" t="s">
        <v>33</v>
      </c>
    </row>
    <row r="17" ht="14.25" customHeight="1">
      <c r="A17" s="8" t="s">
        <v>31</v>
      </c>
      <c r="B17" s="8" t="s">
        <v>34</v>
      </c>
      <c r="C17" s="9">
        <v>1.0</v>
      </c>
      <c r="D17" s="16" t="s">
        <v>13</v>
      </c>
      <c r="E17" s="17">
        <v>8.7</v>
      </c>
      <c r="F17" s="17">
        <f t="shared" si="2"/>
        <v>8.7</v>
      </c>
      <c r="G17" s="18" t="s">
        <v>35</v>
      </c>
    </row>
    <row r="18" ht="14.25" customHeight="1">
      <c r="A18" s="8" t="s">
        <v>36</v>
      </c>
      <c r="B18" s="8" t="s">
        <v>37</v>
      </c>
      <c r="C18" s="9">
        <v>0.0</v>
      </c>
      <c r="D18" s="19" t="s">
        <v>38</v>
      </c>
      <c r="E18" s="17">
        <v>29.9</v>
      </c>
      <c r="F18" s="17">
        <f t="shared" si="2"/>
        <v>0</v>
      </c>
      <c r="G18" s="8" t="s">
        <v>39</v>
      </c>
    </row>
    <row r="19" ht="14.25" customHeight="1">
      <c r="A19" s="8" t="s">
        <v>40</v>
      </c>
      <c r="B19" s="8" t="s">
        <v>41</v>
      </c>
      <c r="C19" s="9">
        <v>1.0</v>
      </c>
      <c r="D19" s="16" t="s">
        <v>13</v>
      </c>
      <c r="E19" s="17">
        <v>79.95</v>
      </c>
      <c r="F19" s="17">
        <f t="shared" si="2"/>
        <v>79.95</v>
      </c>
      <c r="G19" s="18" t="s">
        <v>42</v>
      </c>
    </row>
    <row r="20" ht="14.25" customHeight="1">
      <c r="A20" s="8" t="s">
        <v>40</v>
      </c>
      <c r="B20" s="8" t="s">
        <v>43</v>
      </c>
      <c r="C20" s="9">
        <v>2.0</v>
      </c>
      <c r="D20" s="16" t="s">
        <v>13</v>
      </c>
      <c r="E20" s="25">
        <v>18.95</v>
      </c>
      <c r="F20" s="17">
        <f t="shared" si="2"/>
        <v>37.9</v>
      </c>
      <c r="G20" s="18" t="s">
        <v>44</v>
      </c>
    </row>
    <row r="21" ht="14.25" customHeight="1">
      <c r="A21" s="8" t="s">
        <v>45</v>
      </c>
      <c r="B21" s="8" t="s">
        <v>46</v>
      </c>
      <c r="C21" s="9">
        <v>1.0</v>
      </c>
      <c r="D21" s="16" t="s">
        <v>13</v>
      </c>
      <c r="E21" s="17">
        <v>3.5</v>
      </c>
      <c r="F21" s="17">
        <f t="shared" si="2"/>
        <v>3.5</v>
      </c>
      <c r="G21" s="18" t="s">
        <v>47</v>
      </c>
    </row>
    <row r="22" ht="14.25" customHeight="1">
      <c r="A22" s="8" t="s">
        <v>45</v>
      </c>
      <c r="B22" s="8" t="s">
        <v>48</v>
      </c>
      <c r="C22" s="9">
        <v>1.0</v>
      </c>
      <c r="D22" s="16" t="s">
        <v>13</v>
      </c>
      <c r="E22" s="17">
        <v>6.9</v>
      </c>
      <c r="F22" s="17">
        <f t="shared" si="2"/>
        <v>6.9</v>
      </c>
      <c r="G22" s="18" t="s">
        <v>49</v>
      </c>
    </row>
    <row r="23" ht="14.25" customHeight="1">
      <c r="A23" s="8" t="s">
        <v>50</v>
      </c>
      <c r="B23" s="8" t="s">
        <v>51</v>
      </c>
      <c r="C23" s="9">
        <v>1.0</v>
      </c>
      <c r="D23" s="16" t="s">
        <v>13</v>
      </c>
      <c r="E23" s="17">
        <v>68.58</v>
      </c>
      <c r="F23" s="17">
        <f t="shared" si="2"/>
        <v>68.58</v>
      </c>
      <c r="G23" s="18" t="s">
        <v>52</v>
      </c>
    </row>
    <row r="24" ht="14.25" customHeight="1">
      <c r="A24" s="8" t="s">
        <v>53</v>
      </c>
      <c r="B24" s="8" t="s">
        <v>54</v>
      </c>
      <c r="C24" s="9">
        <v>1.0</v>
      </c>
      <c r="D24" s="16" t="s">
        <v>13</v>
      </c>
      <c r="E24" s="17">
        <v>19.75</v>
      </c>
      <c r="F24" s="17">
        <f t="shared" si="2"/>
        <v>19.75</v>
      </c>
      <c r="G24" s="18" t="s">
        <v>55</v>
      </c>
    </row>
    <row r="25" ht="14.25" customHeight="1">
      <c r="A25" s="8" t="s">
        <v>53</v>
      </c>
      <c r="B25" s="8" t="s">
        <v>56</v>
      </c>
      <c r="C25" s="9">
        <v>1.0</v>
      </c>
      <c r="D25" s="16" t="s">
        <v>13</v>
      </c>
      <c r="E25" s="17">
        <v>19.99</v>
      </c>
      <c r="F25" s="17">
        <f t="shared" si="2"/>
        <v>19.99</v>
      </c>
      <c r="G25" s="8" t="s">
        <v>57</v>
      </c>
    </row>
    <row r="26" ht="18.0" customHeight="1">
      <c r="A26" s="8" t="s">
        <v>58</v>
      </c>
      <c r="B26" s="8" t="s">
        <v>59</v>
      </c>
      <c r="C26" s="9">
        <v>1.0</v>
      </c>
      <c r="D26" s="16" t="s">
        <v>13</v>
      </c>
      <c r="E26" s="17">
        <v>49.9</v>
      </c>
      <c r="F26" s="17">
        <f t="shared" si="2"/>
        <v>49.9</v>
      </c>
      <c r="G26" s="26" t="s">
        <v>60</v>
      </c>
    </row>
    <row r="27" ht="14.25" customHeight="1">
      <c r="A27" s="8" t="s">
        <v>58</v>
      </c>
      <c r="B27" s="27" t="s">
        <v>94</v>
      </c>
      <c r="C27" s="9">
        <v>1.0</v>
      </c>
      <c r="D27" s="16" t="s">
        <v>13</v>
      </c>
      <c r="E27" s="17">
        <v>5.5</v>
      </c>
      <c r="F27" s="17">
        <f t="shared" si="2"/>
        <v>5.5</v>
      </c>
      <c r="G27" s="18" t="s">
        <v>62</v>
      </c>
    </row>
    <row r="28" ht="14.25" customHeight="1">
      <c r="A28" s="8" t="s">
        <v>63</v>
      </c>
      <c r="B28" s="8" t="s">
        <v>64</v>
      </c>
      <c r="C28" s="9">
        <v>1.0</v>
      </c>
      <c r="D28" s="16" t="s">
        <v>13</v>
      </c>
      <c r="E28" s="17">
        <v>7.95</v>
      </c>
      <c r="F28" s="17">
        <f t="shared" si="2"/>
        <v>7.95</v>
      </c>
      <c r="G28" s="18" t="s">
        <v>65</v>
      </c>
    </row>
    <row r="29" ht="14.25" customHeight="1">
      <c r="A29" s="8" t="s">
        <v>67</v>
      </c>
      <c r="B29" s="8" t="s">
        <v>68</v>
      </c>
      <c r="C29" s="9">
        <v>1.0</v>
      </c>
      <c r="D29" s="16" t="s">
        <v>13</v>
      </c>
      <c r="E29" s="17">
        <v>15.99</v>
      </c>
      <c r="F29" s="17">
        <f t="shared" si="2"/>
        <v>15.99</v>
      </c>
      <c r="G29" s="18" t="s">
        <v>69</v>
      </c>
    </row>
    <row r="30" ht="14.25" customHeight="1">
      <c r="A30" s="8" t="s">
        <v>67</v>
      </c>
      <c r="B30" s="8" t="s">
        <v>70</v>
      </c>
      <c r="C30" s="9">
        <v>1.0</v>
      </c>
      <c r="D30" s="16" t="s">
        <v>13</v>
      </c>
      <c r="E30" s="17">
        <v>70.0</v>
      </c>
      <c r="F30" s="17">
        <f t="shared" si="2"/>
        <v>70</v>
      </c>
      <c r="G30" s="18" t="s">
        <v>71</v>
      </c>
    </row>
    <row r="31" ht="14.25" customHeight="1">
      <c r="A31" s="8" t="s">
        <v>72</v>
      </c>
      <c r="B31" s="8" t="s">
        <v>73</v>
      </c>
      <c r="C31" s="9">
        <v>1.0</v>
      </c>
      <c r="D31" s="16" t="s">
        <v>13</v>
      </c>
      <c r="E31" s="17">
        <v>79.5</v>
      </c>
      <c r="F31" s="17">
        <f t="shared" si="2"/>
        <v>79.5</v>
      </c>
      <c r="G31" s="18" t="s">
        <v>74</v>
      </c>
    </row>
    <row r="32" ht="14.25" customHeight="1">
      <c r="A32" s="8" t="s">
        <v>72</v>
      </c>
      <c r="B32" s="8" t="s">
        <v>75</v>
      </c>
      <c r="C32" s="9">
        <v>2.0</v>
      </c>
      <c r="D32" s="16" t="s">
        <v>13</v>
      </c>
      <c r="E32" s="17">
        <v>37.5</v>
      </c>
      <c r="F32" s="17">
        <f t="shared" si="2"/>
        <v>75</v>
      </c>
      <c r="G32" s="18" t="s">
        <v>76</v>
      </c>
    </row>
    <row r="33" ht="14.25" customHeight="1">
      <c r="A33" s="8" t="s">
        <v>72</v>
      </c>
      <c r="B33" s="8" t="s">
        <v>77</v>
      </c>
      <c r="C33" s="9">
        <v>1.0</v>
      </c>
      <c r="D33" s="16" t="s">
        <v>13</v>
      </c>
      <c r="E33" s="17">
        <v>39.95</v>
      </c>
      <c r="F33" s="17">
        <f t="shared" si="2"/>
        <v>39.95</v>
      </c>
      <c r="G33" s="18" t="s">
        <v>78</v>
      </c>
    </row>
    <row r="34" ht="14.25" customHeight="1">
      <c r="A34" s="8" t="s">
        <v>72</v>
      </c>
      <c r="B34" s="8" t="s">
        <v>79</v>
      </c>
      <c r="C34" s="9">
        <v>1.0</v>
      </c>
      <c r="D34" s="16" t="s">
        <v>13</v>
      </c>
      <c r="E34" s="17">
        <v>12.0</v>
      </c>
      <c r="F34" s="17">
        <f t="shared" si="2"/>
        <v>12</v>
      </c>
      <c r="G34" s="18" t="s">
        <v>80</v>
      </c>
    </row>
    <row r="35" ht="14.25" customHeight="1">
      <c r="A35" s="8" t="s">
        <v>81</v>
      </c>
      <c r="B35" s="8" t="s">
        <v>82</v>
      </c>
      <c r="C35" s="9">
        <v>1.0</v>
      </c>
      <c r="D35" s="16" t="s">
        <v>13</v>
      </c>
      <c r="E35" s="17">
        <v>68.16</v>
      </c>
      <c r="F35" s="17">
        <f t="shared" si="2"/>
        <v>68.16</v>
      </c>
      <c r="G35" s="8" t="s">
        <v>83</v>
      </c>
    </row>
    <row r="36" ht="14.25" customHeight="1">
      <c r="A36" s="8" t="s">
        <v>84</v>
      </c>
      <c r="B36" s="8" t="s">
        <v>85</v>
      </c>
      <c r="C36" s="9">
        <v>1.0</v>
      </c>
      <c r="D36" s="16" t="s">
        <v>13</v>
      </c>
      <c r="E36" s="17">
        <v>60.0</v>
      </c>
      <c r="F36" s="17">
        <f t="shared" si="2"/>
        <v>60</v>
      </c>
      <c r="G36" s="8" t="s">
        <v>86</v>
      </c>
    </row>
    <row r="37" ht="14.25" customHeight="1">
      <c r="A37" s="28" t="s">
        <v>95</v>
      </c>
      <c r="B37" s="29"/>
      <c r="C37" s="29"/>
      <c r="D37" s="29"/>
      <c r="E37" s="29"/>
      <c r="F37" s="30">
        <f>SUM(F7,F7:F36)</f>
        <v>8089.92</v>
      </c>
    </row>
    <row r="38" ht="14.25" customHeight="1">
      <c r="A38" s="31"/>
      <c r="B38" s="31"/>
      <c r="C38" s="31"/>
      <c r="D38" s="31"/>
      <c r="E38" s="31"/>
      <c r="F38" s="32"/>
    </row>
    <row r="39" ht="14.25" customHeight="1"/>
    <row r="40" ht="14.25" customHeight="1">
      <c r="A40" s="33"/>
      <c r="B40" s="33"/>
      <c r="C40" s="33"/>
      <c r="D40" s="33"/>
      <c r="E40" s="33"/>
      <c r="F40" s="33"/>
      <c r="G40" s="33"/>
    </row>
    <row r="41" ht="14.25" customHeight="1">
      <c r="A41" s="34"/>
      <c r="B41" s="34"/>
      <c r="C41" s="34"/>
      <c r="D41" s="34"/>
      <c r="E41" s="34"/>
      <c r="F41" s="34"/>
      <c r="G41" s="34"/>
    </row>
    <row r="42" ht="14.25" customHeight="1">
      <c r="A42" s="34"/>
      <c r="B42" s="34"/>
      <c r="C42" s="34"/>
      <c r="D42" s="34"/>
      <c r="E42" s="34"/>
      <c r="F42" s="34"/>
      <c r="G42" s="34"/>
    </row>
    <row r="43" ht="14.25" customHeight="1">
      <c r="A43" s="34"/>
      <c r="B43" s="34"/>
      <c r="C43" s="34"/>
      <c r="D43" s="34"/>
      <c r="E43" s="34"/>
      <c r="F43" s="34"/>
      <c r="G43" s="34"/>
    </row>
    <row r="44" ht="14.25" customHeight="1">
      <c r="A44" s="34"/>
      <c r="B44" s="34"/>
      <c r="C44" s="34"/>
      <c r="D44" s="34"/>
      <c r="E44" s="34"/>
      <c r="F44" s="34"/>
      <c r="G44" s="34"/>
    </row>
    <row r="45" ht="14.25" customHeight="1">
      <c r="A45" s="34"/>
      <c r="B45" s="34"/>
      <c r="C45" s="34"/>
      <c r="D45" s="34"/>
      <c r="E45" s="34"/>
      <c r="F45" s="34"/>
      <c r="G45" s="34"/>
    </row>
    <row r="46" ht="14.25" customHeight="1">
      <c r="A46" s="34"/>
      <c r="B46" s="34"/>
      <c r="C46" s="34"/>
      <c r="D46" s="34"/>
      <c r="E46" s="34"/>
      <c r="F46" s="34"/>
      <c r="G46" s="34"/>
    </row>
    <row r="47" ht="14.25" customHeight="1">
      <c r="A47" s="34"/>
      <c r="B47" s="34"/>
      <c r="C47" s="34"/>
      <c r="D47" s="34"/>
      <c r="E47" s="34"/>
      <c r="F47" s="34"/>
      <c r="G47" s="34"/>
    </row>
    <row r="48" ht="14.25" customHeight="1">
      <c r="A48" s="34"/>
      <c r="B48" s="34"/>
      <c r="C48" s="34"/>
      <c r="D48" s="34"/>
      <c r="E48" s="34"/>
      <c r="F48" s="34"/>
      <c r="G48" s="34"/>
    </row>
    <row r="49" ht="14.25" customHeight="1">
      <c r="A49" s="34"/>
      <c r="B49" s="34"/>
      <c r="C49" s="34"/>
      <c r="D49" s="34"/>
      <c r="E49" s="34"/>
      <c r="F49" s="34"/>
      <c r="G49" s="34"/>
    </row>
    <row r="50" ht="14.25" customHeight="1">
      <c r="A50" s="34"/>
      <c r="B50" s="34"/>
      <c r="C50" s="34"/>
      <c r="D50" s="34"/>
      <c r="E50" s="34"/>
      <c r="F50" s="34"/>
      <c r="G50" s="34"/>
    </row>
    <row r="51" ht="14.25" customHeight="1">
      <c r="A51" s="34"/>
      <c r="B51" s="34"/>
      <c r="C51" s="34"/>
      <c r="D51" s="34"/>
      <c r="E51" s="34"/>
      <c r="F51" s="34"/>
      <c r="G51" s="34"/>
    </row>
    <row r="52" ht="14.25" customHeight="1">
      <c r="A52" s="34"/>
      <c r="B52" s="34"/>
      <c r="C52" s="34"/>
      <c r="D52" s="34"/>
      <c r="E52" s="34"/>
      <c r="F52" s="34"/>
      <c r="G52" s="34"/>
    </row>
    <row r="53" ht="14.25" customHeight="1">
      <c r="A53" s="34"/>
      <c r="B53" s="34"/>
      <c r="C53" s="34"/>
      <c r="D53" s="34"/>
      <c r="E53" s="34"/>
      <c r="F53" s="34"/>
      <c r="G53" s="34"/>
    </row>
    <row r="54" ht="14.25" customHeight="1">
      <c r="A54" s="34"/>
      <c r="B54" s="34"/>
      <c r="C54" s="34"/>
      <c r="D54" s="34"/>
      <c r="E54" s="34"/>
      <c r="F54" s="34"/>
      <c r="G54" s="34"/>
    </row>
    <row r="55" ht="14.25" customHeight="1">
      <c r="A55" s="34"/>
      <c r="B55" s="34"/>
      <c r="C55" s="34"/>
      <c r="D55" s="34"/>
      <c r="E55" s="34"/>
      <c r="F55" s="34"/>
      <c r="G55" s="34"/>
    </row>
    <row r="56" ht="14.25" customHeight="1">
      <c r="A56" s="34"/>
      <c r="B56" s="34"/>
      <c r="C56" s="34"/>
      <c r="D56" s="34"/>
      <c r="E56" s="34"/>
      <c r="F56" s="34"/>
      <c r="G56" s="34"/>
    </row>
    <row r="57" ht="14.25" customHeight="1">
      <c r="A57" s="34"/>
      <c r="B57" s="34"/>
      <c r="C57" s="34"/>
      <c r="D57" s="34"/>
      <c r="E57" s="34"/>
      <c r="F57" s="34"/>
      <c r="G57" s="34"/>
    </row>
    <row r="58" ht="14.25" customHeight="1">
      <c r="A58" s="34"/>
      <c r="B58" s="34"/>
      <c r="C58" s="34"/>
      <c r="D58" s="34"/>
      <c r="E58" s="34"/>
      <c r="F58" s="34"/>
      <c r="G58" s="34"/>
    </row>
    <row r="59" ht="14.25" customHeight="1">
      <c r="A59" s="34"/>
      <c r="B59" s="34"/>
      <c r="C59" s="34"/>
      <c r="D59" s="34"/>
      <c r="E59" s="34"/>
      <c r="F59" s="34"/>
      <c r="G59" s="34"/>
    </row>
    <row r="60" ht="14.25" customHeight="1">
      <c r="A60" s="34"/>
      <c r="B60" s="34"/>
      <c r="C60" s="34"/>
      <c r="D60" s="34"/>
      <c r="E60" s="34"/>
      <c r="F60" s="34"/>
      <c r="G60" s="34"/>
    </row>
    <row r="61" ht="14.25" customHeight="1">
      <c r="A61" s="34"/>
      <c r="B61" s="34"/>
      <c r="C61" s="34"/>
      <c r="D61" s="34"/>
      <c r="E61" s="34"/>
      <c r="F61" s="34"/>
      <c r="G61" s="34"/>
    </row>
    <row r="62" ht="14.25" customHeight="1">
      <c r="A62" s="34"/>
      <c r="B62" s="34"/>
      <c r="C62" s="34"/>
      <c r="D62" s="34"/>
      <c r="E62" s="34"/>
      <c r="F62" s="34"/>
      <c r="G62" s="34"/>
    </row>
    <row r="63" ht="14.25" customHeight="1">
      <c r="A63" s="34"/>
      <c r="B63" s="34"/>
      <c r="C63" s="34"/>
      <c r="D63" s="34"/>
      <c r="E63" s="34"/>
      <c r="F63" s="34"/>
      <c r="G63" s="34"/>
    </row>
    <row r="64" ht="14.25" customHeight="1">
      <c r="A64" s="34"/>
      <c r="B64" s="34"/>
      <c r="C64" s="34"/>
      <c r="D64" s="34"/>
      <c r="E64" s="34"/>
      <c r="F64" s="34"/>
      <c r="G64" s="34"/>
    </row>
    <row r="65" ht="14.25" customHeight="1">
      <c r="A65" s="34"/>
      <c r="B65" s="34"/>
      <c r="C65" s="34"/>
      <c r="D65" s="34"/>
      <c r="E65" s="34"/>
      <c r="F65" s="34"/>
      <c r="G65" s="34"/>
    </row>
    <row r="66" ht="14.25" customHeight="1">
      <c r="A66" s="34"/>
      <c r="B66" s="34"/>
      <c r="C66" s="34"/>
      <c r="D66" s="34"/>
      <c r="E66" s="34"/>
      <c r="F66" s="34"/>
      <c r="G66" s="34"/>
    </row>
    <row r="67" ht="14.25" customHeight="1">
      <c r="A67" s="34"/>
      <c r="B67" s="34"/>
      <c r="C67" s="34"/>
      <c r="D67" s="34"/>
      <c r="E67" s="34"/>
      <c r="F67" s="34"/>
      <c r="G67" s="34"/>
    </row>
    <row r="68" ht="14.25" customHeight="1"/>
    <row r="69" ht="14.25" customHeight="1">
      <c r="A69" s="35"/>
      <c r="B69" s="35"/>
      <c r="C69" s="35"/>
      <c r="D69" s="35"/>
      <c r="E69" s="35"/>
      <c r="F69" s="35"/>
      <c r="G69" s="35"/>
    </row>
    <row r="70" ht="14.25" customHeight="1">
      <c r="A70" s="36"/>
      <c r="B70" s="36"/>
      <c r="C70" s="36"/>
      <c r="D70" s="36"/>
      <c r="E70" s="36"/>
      <c r="F70" s="36"/>
      <c r="G70" s="36"/>
    </row>
    <row r="71" ht="14.25" customHeight="1">
      <c r="A71" s="36"/>
      <c r="B71" s="36"/>
      <c r="C71" s="36"/>
      <c r="D71" s="36"/>
      <c r="E71" s="36"/>
      <c r="F71" s="36"/>
      <c r="G71" s="36"/>
    </row>
    <row r="72" ht="14.25" customHeight="1">
      <c r="A72" s="36"/>
      <c r="B72" s="36"/>
      <c r="C72" s="36"/>
      <c r="D72" s="36"/>
      <c r="E72" s="36"/>
      <c r="F72" s="36"/>
      <c r="G72" s="36"/>
    </row>
    <row r="73" ht="14.25" customHeight="1">
      <c r="A73" s="36"/>
      <c r="B73" s="36"/>
      <c r="C73" s="36"/>
      <c r="D73" s="36"/>
      <c r="E73" s="36"/>
      <c r="F73" s="36"/>
      <c r="G73" s="36"/>
    </row>
    <row r="74" ht="14.25" customHeight="1">
      <c r="A74" s="36"/>
      <c r="B74" s="36"/>
      <c r="C74" s="36"/>
      <c r="D74" s="36"/>
      <c r="E74" s="36"/>
      <c r="F74" s="36"/>
      <c r="G74" s="36"/>
    </row>
    <row r="75" ht="14.25" customHeight="1">
      <c r="A75" s="36"/>
      <c r="B75" s="36"/>
      <c r="C75" s="36"/>
      <c r="D75" s="36"/>
      <c r="E75" s="36"/>
      <c r="F75" s="36"/>
      <c r="G75" s="36"/>
    </row>
    <row r="76" ht="14.25" customHeight="1">
      <c r="A76" s="36"/>
      <c r="B76" s="36"/>
      <c r="C76" s="36"/>
      <c r="D76" s="36"/>
      <c r="E76" s="36"/>
      <c r="F76" s="36"/>
      <c r="G76" s="36"/>
    </row>
    <row r="77" ht="14.25" customHeight="1"/>
    <row r="78" ht="14.25" customHeight="1">
      <c r="A78" s="37"/>
      <c r="B78" s="37"/>
      <c r="C78" s="37"/>
      <c r="D78" s="37"/>
      <c r="E78" s="37"/>
      <c r="F78" s="37"/>
      <c r="G78" s="37"/>
    </row>
    <row r="79" ht="14.25" customHeight="1">
      <c r="A79" s="38"/>
      <c r="B79" s="38"/>
      <c r="C79" s="38"/>
      <c r="D79" s="38"/>
      <c r="E79" s="38"/>
      <c r="F79" s="38"/>
      <c r="G79" s="38"/>
    </row>
    <row r="80" ht="14.25" customHeight="1">
      <c r="A80" s="38"/>
      <c r="B80" s="38"/>
      <c r="C80" s="38"/>
      <c r="D80" s="38"/>
      <c r="E80" s="38"/>
      <c r="F80" s="38"/>
      <c r="G80" s="38"/>
    </row>
    <row r="81" ht="14.25" customHeight="1">
      <c r="A81" s="38"/>
      <c r="B81" s="38"/>
      <c r="C81" s="38"/>
      <c r="D81" s="38"/>
      <c r="E81" s="38"/>
      <c r="F81" s="38"/>
      <c r="G81" s="38"/>
    </row>
    <row r="82" ht="14.25" customHeight="1">
      <c r="A82" s="38"/>
      <c r="B82" s="38"/>
      <c r="C82" s="38"/>
      <c r="D82" s="38"/>
      <c r="E82" s="38"/>
      <c r="F82" s="38"/>
      <c r="G82" s="38"/>
    </row>
    <row r="83" ht="14.25" customHeight="1">
      <c r="A83" s="38"/>
      <c r="B83" s="38"/>
      <c r="C83" s="38"/>
      <c r="D83" s="38"/>
      <c r="E83" s="38"/>
      <c r="F83" s="38"/>
      <c r="G83" s="38"/>
    </row>
    <row r="84" ht="14.25" customHeight="1">
      <c r="A84" s="38"/>
      <c r="B84" s="38"/>
      <c r="C84" s="38"/>
      <c r="D84" s="38"/>
      <c r="E84" s="38"/>
      <c r="F84" s="38"/>
      <c r="G84" s="38"/>
    </row>
    <row r="85" ht="14.25" customHeight="1">
      <c r="A85" s="38"/>
      <c r="B85" s="38"/>
      <c r="C85" s="38"/>
      <c r="D85" s="38"/>
      <c r="E85" s="38"/>
      <c r="F85" s="38"/>
      <c r="G85" s="38"/>
    </row>
    <row r="86" ht="14.25" customHeight="1">
      <c r="A86" s="38"/>
      <c r="B86" s="38"/>
      <c r="C86" s="38"/>
      <c r="D86" s="38"/>
      <c r="E86" s="38"/>
      <c r="F86" s="38"/>
      <c r="G86" s="38"/>
    </row>
    <row r="87" ht="14.25" customHeight="1"/>
    <row r="88" ht="14.25" customHeight="1">
      <c r="A88" s="39"/>
      <c r="B88" s="39"/>
      <c r="C88" s="39"/>
      <c r="D88" s="39"/>
      <c r="E88" s="39"/>
      <c r="F88" s="39"/>
      <c r="G88" s="39"/>
    </row>
    <row r="89" ht="14.25" customHeight="1">
      <c r="A89" s="40"/>
      <c r="B89" s="40"/>
      <c r="C89" s="40"/>
      <c r="D89" s="40"/>
      <c r="E89" s="40"/>
      <c r="F89" s="40"/>
      <c r="G89" s="40"/>
    </row>
    <row r="90" ht="14.25" customHeight="1">
      <c r="A90" s="41"/>
      <c r="B90" s="41"/>
      <c r="C90" s="41"/>
      <c r="D90" s="41"/>
      <c r="E90" s="41"/>
      <c r="F90" s="41"/>
      <c r="G90" s="41"/>
    </row>
    <row r="91" ht="14.25" customHeight="1">
      <c r="A91" s="41"/>
      <c r="B91" s="41"/>
      <c r="C91" s="41"/>
      <c r="D91" s="41"/>
      <c r="E91" s="41"/>
      <c r="F91" s="41"/>
      <c r="G91" s="41"/>
    </row>
    <row r="92" ht="14.25" customHeight="1">
      <c r="A92" s="41"/>
      <c r="B92" s="41"/>
      <c r="C92" s="41"/>
      <c r="D92" s="41"/>
      <c r="E92" s="41"/>
      <c r="F92" s="41"/>
      <c r="G92" s="41"/>
    </row>
    <row r="93" ht="14.25" customHeight="1">
      <c r="A93" s="41"/>
      <c r="B93" s="41"/>
      <c r="C93" s="41"/>
      <c r="D93" s="41"/>
      <c r="E93" s="41"/>
      <c r="F93" s="41"/>
      <c r="G93" s="41"/>
    </row>
    <row r="94" ht="14.25" customHeight="1">
      <c r="A94" s="41"/>
      <c r="B94" s="41"/>
      <c r="C94" s="41"/>
      <c r="D94" s="41"/>
      <c r="E94" s="41"/>
      <c r="F94" s="41"/>
      <c r="G94" s="41"/>
    </row>
    <row r="95" ht="14.25" customHeight="1">
      <c r="A95" s="40"/>
      <c r="B95" s="40"/>
      <c r="C95" s="40"/>
      <c r="D95" s="40"/>
      <c r="E95" s="40"/>
      <c r="F95" s="40"/>
      <c r="G95" s="40"/>
    </row>
    <row r="96" ht="14.25" customHeight="1">
      <c r="A96" s="41"/>
      <c r="B96" s="41"/>
      <c r="C96" s="41"/>
      <c r="D96" s="41"/>
      <c r="E96" s="41"/>
      <c r="F96" s="41"/>
      <c r="G96" s="41"/>
    </row>
    <row r="97" ht="14.25" customHeight="1">
      <c r="A97" s="41"/>
      <c r="B97" s="41"/>
      <c r="C97" s="41"/>
      <c r="D97" s="41"/>
      <c r="E97" s="41"/>
      <c r="F97" s="41"/>
      <c r="G97" s="41"/>
    </row>
    <row r="98" ht="14.25" customHeight="1">
      <c r="A98" s="41"/>
      <c r="B98" s="41"/>
      <c r="C98" s="41"/>
      <c r="D98" s="41"/>
      <c r="E98" s="41"/>
      <c r="F98" s="41"/>
      <c r="G98" s="41"/>
    </row>
    <row r="99" ht="14.25" customHeight="1">
      <c r="A99" s="41"/>
      <c r="B99" s="41"/>
      <c r="C99" s="41"/>
      <c r="D99" s="41"/>
      <c r="E99" s="41"/>
      <c r="F99" s="41"/>
      <c r="G99" s="41"/>
    </row>
    <row r="100" ht="14.25" customHeight="1">
      <c r="A100" s="41"/>
      <c r="B100" s="41"/>
      <c r="C100" s="41"/>
      <c r="D100" s="41"/>
      <c r="E100" s="41"/>
      <c r="F100" s="41"/>
      <c r="G100" s="41"/>
    </row>
    <row r="101" ht="14.25" customHeight="1">
      <c r="A101" s="42"/>
    </row>
    <row r="102" ht="14.25" customHeight="1">
      <c r="A102" s="41"/>
    </row>
    <row r="103" ht="14.25" customHeight="1">
      <c r="A103" s="41"/>
    </row>
    <row r="104" ht="14.25" customHeight="1">
      <c r="A104" s="21"/>
    </row>
    <row r="105" ht="14.25" customHeight="1"/>
    <row r="106" ht="14.25" customHeight="1"/>
    <row r="107" ht="14.25" customHeight="1"/>
    <row r="108" ht="14.25" customHeight="1">
      <c r="A108" s="21"/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9">
    <mergeCell ref="A104:G104"/>
    <mergeCell ref="A108:G108"/>
    <mergeCell ref="A1:G1"/>
    <mergeCell ref="A2:G2"/>
    <mergeCell ref="A3:G3"/>
    <mergeCell ref="A4:G4"/>
    <mergeCell ref="A101:G101"/>
    <mergeCell ref="A102:G102"/>
    <mergeCell ref="A103:G103"/>
  </mergeCells>
  <hyperlinks>
    <hyperlink r:id="rId1" ref="G7"/>
    <hyperlink r:id="rId2" ref="G8"/>
    <hyperlink r:id="rId3" ref="G10"/>
    <hyperlink r:id="rId4" ref="G11"/>
    <hyperlink r:id="rId5" ref="G12"/>
    <hyperlink r:id="rId6" ref="G13"/>
    <hyperlink r:id="rId7" ref="G14"/>
    <hyperlink r:id="rId8" ref="G16"/>
    <hyperlink r:id="rId9" ref="G17"/>
    <hyperlink r:id="rId10" ref="G19"/>
    <hyperlink r:id="rId11" ref="G20"/>
    <hyperlink r:id="rId12" ref="G21"/>
    <hyperlink r:id="rId13" ref="G22"/>
    <hyperlink r:id="rId14" location="mpos=3|mp" ref="G23"/>
    <hyperlink r:id="rId15" ref="G24"/>
    <hyperlink r:id="rId16" location="mpos=3|mp" ref="G26"/>
    <hyperlink r:id="rId17" ref="G27"/>
    <hyperlink r:id="rId18" ref="G28"/>
    <hyperlink r:id="rId19" location="mpos=1|mp" ref="G29"/>
    <hyperlink r:id="rId20" location="mpos=1|mp" ref="G30"/>
    <hyperlink r:id="rId21" ref="G31"/>
    <hyperlink r:id="rId22" ref="G32"/>
    <hyperlink r:id="rId23" ref="G33"/>
    <hyperlink r:id="rId24" ref="G34"/>
  </hyperlinks>
  <printOptions/>
  <pageMargins bottom="1.0" footer="0.0" header="0.0" left="0.75" right="0.75" top="1.0"/>
  <pageSetup paperSize="9" orientation="portrait"/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2025-12-16T20:46:11Z</dcterms:created>
  <dc:creator>openpyxl</dc:creator>
</cp:coreProperties>
</file>